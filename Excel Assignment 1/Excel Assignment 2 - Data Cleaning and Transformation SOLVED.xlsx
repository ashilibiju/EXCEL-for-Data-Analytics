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ashil\Downloads\"/>
    </mc:Choice>
  </mc:AlternateContent>
  <xr:revisionPtr revIDLastSave="0" documentId="8_{C9BA2D46-BE1B-435A-8BA3-2D1C9801216B}" xr6:coauthVersionLast="47" xr6:coauthVersionMax="47" xr10:uidLastSave="{00000000-0000-0000-0000-000000000000}"/>
  <bookViews>
    <workbookView xWindow="-110" yWindow="-110" windowWidth="22620" windowHeight="13500" activeTab="3" xr2:uid="{00000000-000D-0000-FFFF-FFFF00000000}"/>
  </bookViews>
  <sheets>
    <sheet name="Instructions" sheetId="1" r:id="rId1"/>
    <sheet name="Dataset" sheetId="2" r:id="rId2"/>
    <sheet name="Answers" sheetId="3" r:id="rId3"/>
    <sheet name="Descriptio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rIR6213FxEpgZ/k1UDjxyMHI45/G9Bc960XOAAH4UN4="/>
    </ext>
  </extLst>
</workbook>
</file>

<file path=xl/calcChain.xml><?xml version="1.0" encoding="utf-8"?>
<calcChain xmlns="http://schemas.openxmlformats.org/spreadsheetml/2006/main"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H2" i="3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G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</calcChain>
</file>

<file path=xl/sharedStrings.xml><?xml version="1.0" encoding="utf-8"?>
<sst xmlns="http://schemas.openxmlformats.org/spreadsheetml/2006/main" count="339" uniqueCount="153">
  <si>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</si>
  <si>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</si>
  <si>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</si>
  <si>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</si>
  <si>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</si>
  <si>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</si>
  <si>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</si>
  <si>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</si>
  <si>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</si>
  <si>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</si>
  <si>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</si>
  <si>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</si>
  <si>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</si>
  <si>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</si>
  <si>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 xml:space="preserve">• Format the data type of the "Price" column to currency format. </t>
  </si>
  <si>
    <t xml:space="preserve">• Format the "Manufacturing Date" column to display dates in the "DD-MM-YYYY " format. 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</si>
  <si>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</si>
  <si>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</si>
  <si>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</si>
  <si>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</si>
  <si>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</si>
  <si>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</si>
  <si>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</si>
  <si>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</si>
  <si>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</si>
  <si>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</si>
  <si>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</si>
  <si>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</si>
  <si>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</si>
  <si>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</si>
  <si>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</si>
  <si>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</si>
  <si>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</si>
  <si>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</si>
  <si>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</si>
  <si>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</si>
  <si>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</si>
  <si>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</si>
  <si>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</si>
  <si>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</si>
  <si>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</si>
  <si>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</si>
  <si>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</si>
  <si>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07-JUN-UK</t>
  </si>
  <si>
    <t>Headphones</t>
  </si>
  <si>
    <t>Sony</t>
  </si>
  <si>
    <t>Electroni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</si>
  <si>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</si>
  <si>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</si>
  <si>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</si>
  <si>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</si>
  <si>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</si>
  <si>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</si>
  <si>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</si>
  <si>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</si>
  <si>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</si>
  <si>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</si>
  <si>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</si>
  <si>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</si>
  <si>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Outdoor</t>
  </si>
  <si>
    <t>17-JUN-IN</t>
  </si>
  <si>
    <t>Laptop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</si>
  <si>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</si>
  <si>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</si>
  <si>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</si>
  <si>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</si>
  <si>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</si>
  <si>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</si>
  <si>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</si>
  <si>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</si>
  <si>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headphones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</si>
  <si>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</si>
  <si>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</si>
  <si>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</si>
  <si>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</si>
  <si>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</si>
  <si>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</si>
  <si>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</si>
  <si>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</si>
  <si>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</si>
  <si>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</si>
  <si>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</si>
  <si>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</si>
  <si>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</si>
  <si>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</si>
  <si>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</si>
  <si>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</si>
  <si>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</si>
  <si>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</si>
  <si>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</si>
  <si>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</si>
  <si>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</si>
  <si>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</si>
  <si>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</si>
  <si>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</si>
  <si>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</si>
  <si>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Smartphone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</si>
  <si>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</si>
  <si>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</si>
  <si>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</si>
  <si>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</si>
  <si>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</si>
  <si>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</si>
  <si>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</si>
  <si>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</si>
  <si>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</si>
  <si>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</si>
  <si>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</si>
  <si>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</si>
  <si>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</si>
  <si>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</si>
  <si>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</si>
  <si>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</si>
  <si>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</si>
  <si>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</si>
  <si>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</si>
  <si>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Impute($)</t>
  </si>
  <si>
    <t>Category Impute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</si>
  <si>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</si>
  <si>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</si>
  <si>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</si>
  <si>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</si>
  <si>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</si>
  <si>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</si>
  <si>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</si>
  <si>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</si>
  <si>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</si>
  <si>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</si>
  <si>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</si>
  <si>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</si>
  <si>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</si>
  <si>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</si>
  <si>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</si>
  <si>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Task</t>
  </si>
  <si>
    <t>Missing prices</t>
  </si>
  <si>
    <t>Missing categories</t>
  </si>
  <si>
    <t>Product Name format</t>
  </si>
  <si>
    <t>Category typo</t>
  </si>
  <si>
    <t>Changed Electroni to Electronics.</t>
  </si>
  <si>
    <t>Duplicates</t>
  </si>
  <si>
    <t>Split Product ID</t>
  </si>
  <si>
    <t>Product Brand</t>
  </si>
  <si>
    <t>Number formatting</t>
  </si>
  <si>
    <t>Conditional formatting</t>
  </si>
  <si>
    <t>Standardized names to title case .</t>
  </si>
  <si>
    <r>
      <t xml:space="preserve">Filled the Missing price with the </t>
    </r>
    <r>
      <rPr>
        <sz val="14"/>
        <color theme="5" tint="-0.249977111117893"/>
        <rFont val="Arial"/>
        <family val="2"/>
        <scheme val="minor"/>
      </rPr>
      <t>=IF(ISBLANK(),RIGHT VALUE,FAIL VALUE)</t>
    </r>
    <r>
      <rPr>
        <sz val="14"/>
        <color rgb="FF000000"/>
        <rFont val="Arial"/>
        <family val="2"/>
        <scheme val="minor"/>
      </rPr>
      <t xml:space="preserve">  function and replaced it with the </t>
    </r>
    <r>
      <rPr>
        <sz val="14"/>
        <color theme="5" tint="-0.249977111117893"/>
        <rFont val="Arial"/>
        <family val="2"/>
        <scheme val="minor"/>
      </rPr>
      <t xml:space="preserve">AVERAGE </t>
    </r>
    <r>
      <rPr>
        <sz val="14"/>
        <color rgb="FF000000"/>
        <rFont val="Arial"/>
        <family val="2"/>
        <scheme val="minor"/>
      </rPr>
      <t>of total price and for category repalaced it with null value .</t>
    </r>
  </si>
  <si>
    <r>
      <t>Removed exact duplicate rows. 34 original data rows reduced to 31 unique rows.</t>
    </r>
    <r>
      <rPr>
        <sz val="14"/>
        <color theme="5" tint="-0.249977111117893"/>
        <rFont val="Arial"/>
        <family val="2"/>
        <scheme val="minor"/>
      </rPr>
      <t>( Data -&gt; Remove Duplicate)</t>
    </r>
  </si>
  <si>
    <r>
      <t xml:space="preserve">Added Manufacturing Date and Country Code columns from IDs such as 28-JAN-US. And filled it usinfg </t>
    </r>
    <r>
      <rPr>
        <sz val="14"/>
        <color theme="5" tint="-0.249977111117893"/>
        <rFont val="Arial"/>
        <family val="2"/>
        <scheme val="minor"/>
      </rPr>
      <t xml:space="preserve">Flash Fill </t>
    </r>
    <r>
      <rPr>
        <sz val="14"/>
        <color rgb="FF000000"/>
        <rFont val="Arial"/>
        <family val="2"/>
        <scheme val="minor"/>
      </rPr>
      <t>(clt+E)</t>
    </r>
  </si>
  <si>
    <r>
      <t xml:space="preserve">Combined Brand Name and Product Name, for example Dell Laptop USING </t>
    </r>
    <r>
      <rPr>
        <sz val="14"/>
        <color theme="5" tint="-0.249977111117893"/>
        <rFont val="Arial"/>
        <family val="2"/>
        <scheme val="minor"/>
      </rPr>
      <t>CONCAT</t>
    </r>
    <r>
      <rPr>
        <sz val="14"/>
        <color rgb="FF000000"/>
        <rFont val="Arial"/>
        <family val="2"/>
        <scheme val="minor"/>
      </rPr>
      <t xml:space="preserve"> function</t>
    </r>
  </si>
  <si>
    <r>
      <t xml:space="preserve">Price is formatted as USD currency </t>
    </r>
    <r>
      <rPr>
        <sz val="14"/>
        <color theme="5" tint="-0.249977111117893"/>
        <rFont val="Arial"/>
        <family val="2"/>
        <scheme val="minor"/>
      </rPr>
      <t>(HOME -&gt; NUMBER )</t>
    </r>
    <r>
      <rPr>
        <sz val="14"/>
        <color rgb="FF000000"/>
        <rFont val="Arial"/>
        <family val="2"/>
        <scheme val="minor"/>
      </rPr>
      <t xml:space="preserve"> Manufacturing Date uses DD-MM-YYYY.(clt + 1)</t>
    </r>
  </si>
  <si>
    <r>
      <t xml:space="preserve">added colour scale to price coloumn </t>
    </r>
    <r>
      <rPr>
        <sz val="14"/>
        <color theme="5" tint="-0.249977111117893"/>
        <rFont val="Arial"/>
        <family val="2"/>
        <scheme val="minor"/>
      </rPr>
      <t>(Conditional Formating-&gt;Colour Scale)</t>
    </r>
    <r>
      <rPr>
        <sz val="14"/>
        <color rgb="FF000000"/>
        <rFont val="Arial"/>
        <family val="2"/>
        <scheme val="minor"/>
      </rPr>
      <t xml:space="preserve">,highlighted electronics in category using red colour </t>
    </r>
    <r>
      <rPr>
        <sz val="14"/>
        <color theme="5" tint="-0.249977111117893"/>
        <rFont val="Arial"/>
        <family val="2"/>
        <scheme val="minor"/>
      </rPr>
      <t>(Conditional Formating -&gt; New Rule )</t>
    </r>
  </si>
  <si>
    <r>
      <t>Incosistent data was find and replaced using the</t>
    </r>
    <r>
      <rPr>
        <sz val="14"/>
        <color theme="5" tint="-0.249977111117893"/>
        <rFont val="Arial"/>
        <family val="2"/>
        <scheme val="minor"/>
      </rPr>
      <t xml:space="preserve"> Replace</t>
    </r>
    <r>
      <rPr>
        <sz val="14"/>
        <color rgb="FF000000"/>
        <rFont val="Arial"/>
        <family val="2"/>
        <scheme val="minor"/>
      </rPr>
      <t xml:space="preserve"> option </t>
    </r>
  </si>
  <si>
    <t xml:space="preserve">Solution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</si>
</sst>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65" formatCode="_-[$$-409]* #,##0.00_ ;_-[$$-409]* \-#,##0.00\ ;_-[$$-409]* &quot;-&quot;??_ ;_-@_ "/>
  </numFmts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sz val="10"/>
      <color theme="1"/>
      <name val="Arial"/>
    </font>
    <font>
      <sz val="11"/>
      <color theme="1"/>
      <name val="Times New Roman"/>
    </font>
    <font>
      <b/>
      <sz val="10"/>
      <color theme="1"/>
      <name val="Arial"/>
    </font>
    <font>
      <b/>
      <sz val="14"/>
      <color rgb="FFFFFFFF"/>
      <name val="Arial"/>
      <family val="2"/>
    </font>
    <font>
      <sz val="14"/>
      <color rgb="FF000000"/>
      <name val="Arial"/>
      <family val="2"/>
      <scheme val="minor"/>
    </font>
    <font>
      <sz val="14"/>
      <color theme="5" tint="-0.249977111117893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AF7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2" borderId="0" xfId="0" applyFont="1" applyFill="1" applyAlignment="1">
      <alignment horizontal="center"/>
    </xf>
    <xf numFmtId="0" fontId="5" fillId="3" borderId="0" xfId="0" applyFont="1" applyFill="1"/>
    <xf numFmtId="164" fontId="7" fillId="2" borderId="0" xfId="0" applyNumberFormat="1" applyFont="1" applyFill="1" applyAlignment="1">
      <alignment horizontal="center"/>
    </xf>
    <xf numFmtId="14" fontId="5" fillId="3" borderId="0" xfId="0" applyNumberFormat="1" applyFont="1" applyFill="1"/>
    <xf numFmtId="165" fontId="5" fillId="0" borderId="0" xfId="0" applyNumberFormat="1" applyFont="1"/>
    <xf numFmtId="165" fontId="5" fillId="3" borderId="0" xfId="0" applyNumberFormat="1" applyFont="1" applyFill="1"/>
    <xf numFmtId="0" fontId="8" fillId="4" borderId="0" xfId="0" applyFont="1" applyFill="1" applyAlignment="1">
      <alignment horizontal="center" vertical="center"/>
    </xf>
    <xf numFmtId="0" fontId="9" fillId="0" borderId="1" xfId="0" applyFont="1" applyBorder="1" applyAlignment="1">
      <alignment vertical="top" wrapText="1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65" formatCode="_-[$$-409]* #,##0.00_ ;_-[$$-409]* \-#,##0.00\ ;_-[$$-409]* &quot;-&quot;??_ ;_-@_ 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ill>
        <patternFill>
          <bgColor rgb="FFFF00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19" formatCode="dd/mm/yyyy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numFmt numFmtId="0" formatCode="General"/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4DD0E1"/>
          <bgColor rgb="FF4DD0E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E0F7FA"/>
          <bgColor rgb="FFE0F7F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003DC9-98BA-4CA6-94B6-B07928E5E270}" name="Table1" displayName="Table1" ref="A1:F35" totalsRowShown="0" headerRowDxfId="14" dataDxfId="15">
  <autoFilter ref="A1:F35" xr:uid="{29003DC9-98BA-4CA6-94B6-B07928E5E270}"/>
  <tableColumns count="6">
    <tableColumn id="1" xr3:uid="{6816DFA6-3D39-4456-A290-61EBC20E2E21}" name="Product ID" dataDxfId="21"/>
    <tableColumn id="2" xr3:uid="{029C0249-DDA0-40D4-9FD5-29D94CBAB051}" name="Product Name" dataDxfId="20"/>
    <tableColumn id="3" xr3:uid="{1F4DCED5-A9F7-489C-AE4E-B4E87F203DA0}" name="Brand Name" dataDxfId="19"/>
    <tableColumn id="4" xr3:uid="{4DDDDC92-A547-48B4-A12D-11B1421F0718}" name="Price ($)" dataDxfId="18"/>
    <tableColumn id="5" xr3:uid="{8920C9B0-02F8-4CDA-B8D6-B246FF3A78A3}" name="Quantity" dataDxfId="17"/>
    <tableColumn id="6" xr3:uid="{A4EFC9B5-88BD-40C9-8307-40C1CC452A8F}" name="Category" dataDxfId="1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A973CD8-6E3C-43E6-8AC6-92EF6F68183C}" name="Table13" displayName="Table13" ref="A1:K32" totalsRowShown="0" headerRowDxfId="13" dataDxfId="12">
  <autoFilter ref="A1:K32" xr:uid="{1A973CD8-6E3C-43E6-8AC6-92EF6F68183C}"/>
  <tableColumns count="11">
    <tableColumn id="1" xr3:uid="{B3D916A1-6F62-4B7B-BFDC-E562046DAF7A}" name="Product ID" dataDxfId="11"/>
    <tableColumn id="2" xr3:uid="{EF580B4C-103E-483A-AE3E-6ACD50559EA8}" name="Product Name" dataDxfId="10"/>
    <tableColumn id="3" xr3:uid="{B91246E8-C7FD-477D-AFDB-2EA065722AE0}" name="Brand Name" dataDxfId="2"/>
    <tableColumn id="4" xr3:uid="{C152D125-352B-48DE-8FA4-5865A1495306}" name="Price ($)" dataDxfId="0"/>
    <tableColumn id="5" xr3:uid="{C1597A65-7DBF-4E7F-AE8F-CEE53A752391}" name="Quantity" dataDxfId="1"/>
    <tableColumn id="6" xr3:uid="{765A69FE-4D4C-4BEB-AC2B-E6990DCA5205}" name="Category" dataDxfId="9"/>
    <tableColumn id="7" xr3:uid="{E93D03DC-B36D-4286-BF5F-744202933446}" name="Price Impute($)" dataDxfId="8">
      <calculatedColumnFormula>IF(ISBLANK(Table13[[#This Row],[Price ($)]]),AVERAGE(Table13[Price ($)]),Table13[[#This Row],[Price ($)]])</calculatedColumnFormula>
    </tableColumn>
    <tableColumn id="8" xr3:uid="{41DDBF4F-3B32-403E-8488-36633D884C70}" name="Category Impute" dataDxfId="7">
      <calculatedColumnFormula>IF(ISBLANK(Table13[[#This Row],[Category]]),"Unknown",Table13[[#This Row],[Category]])</calculatedColumnFormula>
    </tableColumn>
    <tableColumn id="9" xr3:uid="{9EDC6BD3-0B42-4834-81D5-30120D651A26}" name="Manufacturing Date" dataDxfId="4"/>
    <tableColumn id="10" xr3:uid="{00FE640D-0EAE-41FF-BABA-4FA22C56DA07}" name="Country Code" dataDxfId="6"/>
    <tableColumn id="11" xr3:uid="{98434237-CB3B-48DA-B88A-303E66D6E4A5}" name="Product brand" dataDxfId="5">
      <calculatedColumnFormula>_xlfn.CONCAT(Table13[[#This Row],[Brand Name]]," ",Table13[[#This Row],[Product Name]])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00"/>
  <sheetViews>
    <sheetView showGridLines="0" workbookViewId="0"/>
  </sheetViews>
  <sheetFormatPr defaultColWidth="12.6328125" defaultRowHeight="15" customHeight="1" x14ac:dyDescent="0.25"/>
  <cols>
    <col min="1" max="1" width="12.6328125" customWidth="1"/>
    <col min="2" max="2" width="7.453125" customWidth="1"/>
    <col min="3" max="6" width="12.6328125" customWidth="1"/>
  </cols>
  <sheetData>
    <row r="1" spans="1:11" ht="15.75" customHeight="1" x14ac:dyDescent="0.3">
      <c r="A1" s="1" t="s">
        <v>0</v>
      </c>
    </row>
    <row r="2" spans="1:11" ht="15.75" customHeight="1" x14ac:dyDescent="0.25"/>
    <row r="3" spans="1:11" ht="15.75" customHeight="1" x14ac:dyDescent="0.3">
      <c r="B3" s="2" t="s">
        <v>1</v>
      </c>
    </row>
    <row r="4" spans="1:11" ht="15.75" customHeight="1" x14ac:dyDescent="0.35">
      <c r="C4" s="3" t="s">
        <v>2</v>
      </c>
    </row>
    <row r="5" spans="1:11" ht="15.75" customHeight="1" x14ac:dyDescent="0.35">
      <c r="B5" s="4"/>
      <c r="C5" s="3" t="s">
        <v>3</v>
      </c>
    </row>
    <row r="6" spans="1:11" ht="15.75" customHeight="1" x14ac:dyDescent="0.35">
      <c r="B6" s="4"/>
    </row>
    <row r="7" spans="1:11" ht="15.75" customHeight="1" x14ac:dyDescent="0.3">
      <c r="B7" s="2" t="s">
        <v>4</v>
      </c>
    </row>
    <row r="8" spans="1:11" ht="15.75" customHeight="1" x14ac:dyDescent="0.35">
      <c r="C8" s="3" t="s">
        <v>5</v>
      </c>
    </row>
    <row r="9" spans="1:11" ht="15.75" customHeight="1" x14ac:dyDescent="0.35">
      <c r="C9" s="3" t="s">
        <v>6</v>
      </c>
    </row>
    <row r="10" spans="1:11" ht="15.75" customHeight="1" x14ac:dyDescent="0.35">
      <c r="C10" s="3" t="s">
        <v>7</v>
      </c>
    </row>
    <row r="11" spans="1:11" ht="15.75" customHeight="1" x14ac:dyDescent="0.35">
      <c r="B11" s="4"/>
    </row>
    <row r="12" spans="1:11" ht="15.75" customHeight="1" x14ac:dyDescent="0.3">
      <c r="B12" s="2" t="s">
        <v>8</v>
      </c>
    </row>
    <row r="13" spans="1:11" ht="15.75" customHeight="1" x14ac:dyDescent="0.35">
      <c r="B13" s="2"/>
      <c r="C13" s="3" t="s">
        <v>9</v>
      </c>
    </row>
    <row r="14" spans="1:11" ht="15.75" customHeight="1" x14ac:dyDescent="0.25"/>
    <row r="15" spans="1:11" ht="15.75" customHeight="1" x14ac:dyDescent="0.3">
      <c r="B15" s="2" t="s">
        <v>10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 ht="15.75" customHeight="1" x14ac:dyDescent="0.35">
      <c r="B16" s="5"/>
      <c r="C16" s="3" t="s">
        <v>11</v>
      </c>
      <c r="D16" s="5"/>
      <c r="E16" s="5"/>
      <c r="F16" s="5"/>
      <c r="G16" s="5"/>
      <c r="H16" s="5"/>
      <c r="I16" s="5"/>
      <c r="J16" s="5"/>
      <c r="K16" s="5"/>
    </row>
    <row r="17" spans="2:11" ht="15.75" customHeight="1" x14ac:dyDescent="0.35">
      <c r="B17" s="5"/>
      <c r="C17" s="3" t="s">
        <v>12</v>
      </c>
      <c r="D17" s="5"/>
      <c r="E17" s="5"/>
      <c r="F17" s="5"/>
      <c r="G17" s="5"/>
      <c r="H17" s="5"/>
      <c r="I17" s="5"/>
      <c r="J17" s="5"/>
      <c r="K17" s="5"/>
    </row>
    <row r="18" spans="2:11" ht="15.75" customHeight="1" x14ac:dyDescent="0.25"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2:11" ht="15.75" customHeight="1" x14ac:dyDescent="0.3">
      <c r="B19" s="2" t="s">
        <v>13</v>
      </c>
      <c r="C19" s="5"/>
      <c r="D19" s="5"/>
      <c r="E19" s="5"/>
      <c r="F19" s="5"/>
      <c r="G19" s="5"/>
      <c r="H19" s="5"/>
      <c r="I19" s="5"/>
      <c r="J19" s="5"/>
      <c r="K19" s="5"/>
    </row>
    <row r="20" spans="2:11" ht="15.75" customHeight="1" x14ac:dyDescent="0.35">
      <c r="B20" s="5"/>
      <c r="C20" s="3" t="s">
        <v>14</v>
      </c>
      <c r="D20" s="5"/>
      <c r="E20" s="5"/>
      <c r="F20" s="5"/>
      <c r="G20" s="5"/>
      <c r="H20" s="5"/>
      <c r="I20" s="5"/>
      <c r="J20" s="5"/>
      <c r="K20" s="5"/>
    </row>
    <row r="21" spans="2:11" ht="15.75" customHeight="1" x14ac:dyDescent="0.35">
      <c r="B21" s="5"/>
      <c r="C21" s="3" t="s">
        <v>15</v>
      </c>
      <c r="D21" s="5"/>
      <c r="E21" s="5"/>
      <c r="F21" s="5"/>
      <c r="G21" s="5"/>
      <c r="H21" s="5"/>
      <c r="I21" s="5"/>
      <c r="J21" s="5"/>
      <c r="K21" s="5"/>
    </row>
    <row r="22" spans="2:11" ht="15.75" customHeight="1" x14ac:dyDescent="0.25"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2:11" ht="15.75" customHeight="1" x14ac:dyDescent="0.3">
      <c r="B23" s="2" t="s">
        <v>16</v>
      </c>
      <c r="C23" s="5"/>
      <c r="D23" s="5"/>
      <c r="E23" s="5"/>
      <c r="F23" s="5"/>
      <c r="G23" s="5"/>
      <c r="H23" s="5"/>
      <c r="I23" s="5"/>
      <c r="J23" s="5"/>
      <c r="K23" s="5"/>
    </row>
    <row r="24" spans="2:11" ht="15.75" customHeight="1" x14ac:dyDescent="0.35">
      <c r="B24" s="5"/>
      <c r="C24" s="3" t="s">
        <v>17</v>
      </c>
      <c r="D24" s="5"/>
      <c r="E24" s="5"/>
      <c r="F24" s="5"/>
      <c r="G24" s="5"/>
      <c r="H24" s="5"/>
      <c r="I24" s="5"/>
      <c r="J24" s="5"/>
      <c r="K24" s="5"/>
    </row>
    <row r="25" spans="2:11" ht="15.75" customHeight="1" x14ac:dyDescent="0.35">
      <c r="B25" s="5"/>
      <c r="C25" s="3" t="s">
        <v>18</v>
      </c>
      <c r="D25" s="5"/>
      <c r="E25" s="5"/>
      <c r="F25" s="5"/>
      <c r="G25" s="5"/>
      <c r="H25" s="5"/>
      <c r="I25" s="5"/>
      <c r="J25" s="5"/>
      <c r="K25" s="5"/>
    </row>
    <row r="26" spans="2:11" ht="15.75" customHeight="1" x14ac:dyDescent="0.35">
      <c r="B26" s="5"/>
      <c r="C26" s="3"/>
      <c r="D26" s="5"/>
      <c r="E26" s="5"/>
      <c r="F26" s="5"/>
      <c r="G26" s="5"/>
      <c r="H26" s="5"/>
      <c r="I26" s="5"/>
      <c r="J26" s="5"/>
      <c r="K26" s="5"/>
    </row>
    <row r="27" spans="2:11" ht="15.75" customHeight="1" x14ac:dyDescent="0.3">
      <c r="B27" s="5"/>
      <c r="C27" s="5"/>
      <c r="D27" s="6"/>
      <c r="E27" s="5"/>
      <c r="F27" s="5"/>
      <c r="G27" s="5"/>
      <c r="H27" s="5"/>
      <c r="I27" s="5"/>
      <c r="J27" s="5"/>
      <c r="K27" s="5"/>
    </row>
    <row r="28" spans="2:11" ht="15.75" customHeight="1" x14ac:dyDescent="0.25"/>
    <row r="29" spans="2:11" ht="15.75" customHeight="1" x14ac:dyDescent="0.25"/>
    <row r="30" spans="2:11" ht="15.75" customHeight="1" x14ac:dyDescent="0.25"/>
    <row r="31" spans="2:11" ht="15.75" customHeight="1" x14ac:dyDescent="0.25"/>
    <row r="32" spans="2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P1000"/>
  <sheetViews>
    <sheetView topLeftCell="A8" workbookViewId="0">
      <selection sqref="A1:F36"/>
    </sheetView>
  </sheetViews>
  <sheetFormatPr defaultColWidth="12.6328125" defaultRowHeight="15" customHeight="1" x14ac:dyDescent="0.25"/>
  <cols>
    <col min="1" max="1" width="12.6328125" customWidth="1"/>
    <col min="2" max="2" width="15" customWidth="1"/>
    <col min="3" max="3" width="13.36328125" customWidth="1"/>
    <col min="4" max="6" width="12.6328125" customWidth="1"/>
  </cols>
  <sheetData>
    <row r="1" spans="1:16" ht="15.75" customHeight="1" x14ac:dyDescent="0.3">
      <c r="A1" s="7" t="s">
        <v>19</v>
      </c>
      <c r="B1" s="7" t="s">
        <v>20</v>
      </c>
      <c r="C1" s="7" t="s">
        <v>21</v>
      </c>
      <c r="D1" s="7" t="s">
        <v>22</v>
      </c>
      <c r="E1" s="7" t="s">
        <v>23</v>
      </c>
      <c r="F1" s="7" t="s">
        <v>24</v>
      </c>
    </row>
    <row r="2" spans="1:16" ht="15.75" customHeight="1" x14ac:dyDescent="0.25">
      <c r="A2" s="5" t="s">
        <v>25</v>
      </c>
      <c r="B2" s="5" t="s">
        <v>26</v>
      </c>
      <c r="C2" s="5" t="s">
        <v>27</v>
      </c>
      <c r="D2" s="5">
        <v>1000</v>
      </c>
      <c r="E2" s="5">
        <v>30</v>
      </c>
      <c r="F2" s="5" t="s">
        <v>28</v>
      </c>
    </row>
    <row r="3" spans="1:16" ht="15.75" customHeight="1" x14ac:dyDescent="0.3">
      <c r="A3" s="8" t="s">
        <v>29</v>
      </c>
      <c r="B3" s="8" t="s">
        <v>30</v>
      </c>
      <c r="C3" s="8" t="s">
        <v>31</v>
      </c>
      <c r="D3" s="8">
        <v>80</v>
      </c>
      <c r="E3" s="8">
        <v>15</v>
      </c>
      <c r="F3" s="8" t="s">
        <v>32</v>
      </c>
      <c r="I3" s="2"/>
      <c r="J3" s="5"/>
      <c r="K3" s="5"/>
      <c r="L3" s="5"/>
      <c r="M3" s="5"/>
      <c r="N3" s="5"/>
      <c r="O3" s="5"/>
      <c r="P3" s="5"/>
    </row>
    <row r="4" spans="1:16" ht="15.75" customHeight="1" x14ac:dyDescent="0.35">
      <c r="A4" s="5" t="s">
        <v>33</v>
      </c>
      <c r="B4" s="5" t="s">
        <v>34</v>
      </c>
      <c r="C4" s="5" t="s">
        <v>35</v>
      </c>
      <c r="D4" s="5">
        <v>130</v>
      </c>
      <c r="E4" s="5">
        <v>40</v>
      </c>
      <c r="F4" s="5" t="s">
        <v>36</v>
      </c>
      <c r="I4" s="5"/>
      <c r="J4" s="3"/>
      <c r="K4" s="5"/>
      <c r="L4" s="5"/>
      <c r="M4" s="5"/>
      <c r="N4" s="5"/>
      <c r="O4" s="5"/>
      <c r="P4" s="5"/>
    </row>
    <row r="5" spans="1:16" ht="15.75" customHeight="1" x14ac:dyDescent="0.35">
      <c r="A5" s="8" t="s">
        <v>37</v>
      </c>
      <c r="B5" s="8" t="s">
        <v>38</v>
      </c>
      <c r="C5" s="8" t="s">
        <v>39</v>
      </c>
      <c r="D5" s="8">
        <v>900</v>
      </c>
      <c r="E5" s="8">
        <v>25</v>
      </c>
      <c r="F5" s="8" t="s">
        <v>28</v>
      </c>
      <c r="I5" s="5"/>
      <c r="J5" s="3"/>
      <c r="K5" s="5"/>
      <c r="L5" s="5"/>
      <c r="M5" s="5"/>
      <c r="N5" s="5"/>
      <c r="O5" s="5"/>
      <c r="P5" s="5"/>
    </row>
    <row r="6" spans="1:16" ht="15.75" customHeight="1" x14ac:dyDescent="0.25">
      <c r="A6" s="5" t="s">
        <v>40</v>
      </c>
      <c r="B6" s="5" t="s">
        <v>41</v>
      </c>
      <c r="C6" s="5" t="s">
        <v>42</v>
      </c>
      <c r="D6" s="5">
        <v>70</v>
      </c>
      <c r="E6" s="5">
        <v>20</v>
      </c>
      <c r="F6" s="5"/>
    </row>
    <row r="7" spans="1:16" ht="15.75" customHeight="1" x14ac:dyDescent="0.25">
      <c r="A7" s="8" t="s">
        <v>43</v>
      </c>
      <c r="B7" s="8" t="s">
        <v>44</v>
      </c>
      <c r="C7" s="8" t="s">
        <v>45</v>
      </c>
      <c r="D7" s="8"/>
      <c r="E7" s="8">
        <v>45</v>
      </c>
      <c r="F7" s="8" t="s">
        <v>46</v>
      </c>
    </row>
    <row r="8" spans="1:16" ht="15.75" customHeight="1" x14ac:dyDescent="0.25">
      <c r="A8" s="5" t="s">
        <v>47</v>
      </c>
      <c r="B8" s="5" t="s">
        <v>48</v>
      </c>
      <c r="C8" s="5" t="s">
        <v>49</v>
      </c>
      <c r="D8" s="5">
        <v>30</v>
      </c>
      <c r="E8" s="5">
        <v>5</v>
      </c>
      <c r="F8" s="5" t="s">
        <v>32</v>
      </c>
    </row>
    <row r="9" spans="1:16" ht="15.75" customHeight="1" x14ac:dyDescent="0.25">
      <c r="A9" s="8" t="s">
        <v>50</v>
      </c>
      <c r="B9" s="8" t="s">
        <v>51</v>
      </c>
      <c r="C9" s="8" t="s">
        <v>52</v>
      </c>
      <c r="D9" s="8">
        <v>90</v>
      </c>
      <c r="E9" s="8">
        <v>35</v>
      </c>
      <c r="F9" s="8" t="s">
        <v>36</v>
      </c>
    </row>
    <row r="10" spans="1:16" ht="15.75" customHeight="1" x14ac:dyDescent="0.25">
      <c r="A10" s="5" t="s">
        <v>53</v>
      </c>
      <c r="B10" s="5" t="s">
        <v>54</v>
      </c>
      <c r="C10" s="5" t="s">
        <v>55</v>
      </c>
      <c r="D10" s="5">
        <v>500</v>
      </c>
      <c r="E10" s="5">
        <v>50</v>
      </c>
      <c r="F10" s="5" t="s">
        <v>28</v>
      </c>
    </row>
    <row r="11" spans="1:16" ht="15.75" customHeight="1" x14ac:dyDescent="0.25">
      <c r="A11" s="8" t="s">
        <v>56</v>
      </c>
      <c r="B11" s="8" t="s">
        <v>57</v>
      </c>
      <c r="C11" s="8" t="s">
        <v>58</v>
      </c>
      <c r="D11" s="8">
        <v>130</v>
      </c>
      <c r="E11" s="8">
        <v>10</v>
      </c>
      <c r="F11" s="8" t="s">
        <v>59</v>
      </c>
    </row>
    <row r="12" spans="1:16" ht="15.75" customHeight="1" x14ac:dyDescent="0.25">
      <c r="A12" s="5" t="s">
        <v>60</v>
      </c>
      <c r="B12" s="5" t="s">
        <v>61</v>
      </c>
      <c r="C12" s="5" t="s">
        <v>62</v>
      </c>
      <c r="D12" s="5">
        <v>950</v>
      </c>
      <c r="E12" s="5">
        <v>25</v>
      </c>
      <c r="F12" s="5" t="s">
        <v>28</v>
      </c>
    </row>
    <row r="13" spans="1:16" ht="15.75" customHeight="1" x14ac:dyDescent="0.25">
      <c r="A13" s="8" t="s">
        <v>63</v>
      </c>
      <c r="B13" s="8" t="s">
        <v>30</v>
      </c>
      <c r="C13" s="8" t="s">
        <v>49</v>
      </c>
      <c r="D13" s="8">
        <v>90</v>
      </c>
      <c r="E13" s="8">
        <v>40</v>
      </c>
      <c r="F13" s="8"/>
    </row>
    <row r="14" spans="1:16" ht="15.75" customHeight="1" x14ac:dyDescent="0.25">
      <c r="A14" s="5" t="s">
        <v>64</v>
      </c>
      <c r="B14" s="5" t="s">
        <v>34</v>
      </c>
      <c r="C14" s="5" t="s">
        <v>65</v>
      </c>
      <c r="D14" s="5">
        <v>120</v>
      </c>
      <c r="E14" s="5">
        <v>35</v>
      </c>
      <c r="F14" s="5"/>
    </row>
    <row r="15" spans="1:16" ht="15.75" customHeight="1" x14ac:dyDescent="0.25">
      <c r="A15" s="8" t="s">
        <v>66</v>
      </c>
      <c r="B15" s="8" t="s">
        <v>67</v>
      </c>
      <c r="C15" s="8" t="s">
        <v>68</v>
      </c>
      <c r="D15" s="8">
        <v>150</v>
      </c>
      <c r="E15" s="8">
        <v>15</v>
      </c>
      <c r="F15" s="8" t="s">
        <v>46</v>
      </c>
    </row>
    <row r="16" spans="1:16" ht="15.75" customHeight="1" x14ac:dyDescent="0.25">
      <c r="A16" s="5" t="s">
        <v>69</v>
      </c>
      <c r="B16" s="5" t="s">
        <v>70</v>
      </c>
      <c r="C16" s="5" t="s">
        <v>71</v>
      </c>
      <c r="D16" s="5">
        <v>250</v>
      </c>
      <c r="E16" s="5">
        <v>20</v>
      </c>
      <c r="F16" s="5" t="s">
        <v>46</v>
      </c>
    </row>
    <row r="17" spans="1:6" ht="15.75" customHeight="1" x14ac:dyDescent="0.25">
      <c r="A17" s="8" t="s">
        <v>72</v>
      </c>
      <c r="B17" s="8" t="s">
        <v>73</v>
      </c>
      <c r="C17" s="8" t="s">
        <v>74</v>
      </c>
      <c r="D17" s="8">
        <v>50</v>
      </c>
      <c r="E17" s="8">
        <v>35</v>
      </c>
      <c r="F17" s="8" t="s">
        <v>75</v>
      </c>
    </row>
    <row r="18" spans="1:6" ht="15.75" customHeight="1" x14ac:dyDescent="0.25">
      <c r="A18" s="5" t="s">
        <v>76</v>
      </c>
      <c r="B18" s="5" t="s">
        <v>67</v>
      </c>
      <c r="C18" s="5" t="s">
        <v>77</v>
      </c>
      <c r="D18" s="5">
        <v>160</v>
      </c>
      <c r="E18" s="5">
        <v>15</v>
      </c>
      <c r="F18" s="5" t="s">
        <v>46</v>
      </c>
    </row>
    <row r="19" spans="1:6" ht="15.75" customHeight="1" x14ac:dyDescent="0.25">
      <c r="A19" s="8" t="s">
        <v>78</v>
      </c>
      <c r="B19" s="8" t="s">
        <v>26</v>
      </c>
      <c r="C19" s="8" t="s">
        <v>79</v>
      </c>
      <c r="D19" s="8">
        <v>980</v>
      </c>
      <c r="E19" s="8">
        <v>10</v>
      </c>
      <c r="F19" s="8" t="s">
        <v>28</v>
      </c>
    </row>
    <row r="20" spans="1:6" ht="15.75" customHeight="1" x14ac:dyDescent="0.25">
      <c r="A20" s="5" t="s">
        <v>80</v>
      </c>
      <c r="B20" s="5" t="s">
        <v>81</v>
      </c>
      <c r="C20" s="5" t="s">
        <v>82</v>
      </c>
      <c r="D20" s="5">
        <v>150</v>
      </c>
      <c r="E20" s="5">
        <v>15</v>
      </c>
      <c r="F20" s="5" t="s">
        <v>32</v>
      </c>
    </row>
    <row r="21" spans="1:6" ht="15.75" customHeight="1" x14ac:dyDescent="0.25">
      <c r="A21" s="8" t="s">
        <v>83</v>
      </c>
      <c r="B21" s="8" t="s">
        <v>84</v>
      </c>
      <c r="C21" s="8" t="s">
        <v>85</v>
      </c>
      <c r="D21" s="8"/>
      <c r="E21" s="8">
        <v>10</v>
      </c>
      <c r="F21" s="8" t="s">
        <v>59</v>
      </c>
    </row>
    <row r="22" spans="1:6" ht="15.75" customHeight="1" x14ac:dyDescent="0.25">
      <c r="A22" s="5" t="s">
        <v>86</v>
      </c>
      <c r="B22" s="5" t="s">
        <v>87</v>
      </c>
      <c r="C22" s="5" t="s">
        <v>88</v>
      </c>
      <c r="D22" s="5">
        <v>700</v>
      </c>
      <c r="E22" s="5">
        <v>50</v>
      </c>
      <c r="F22" s="5" t="s">
        <v>28</v>
      </c>
    </row>
    <row r="23" spans="1:6" ht="15.75" customHeight="1" x14ac:dyDescent="0.25">
      <c r="A23" s="8" t="s">
        <v>89</v>
      </c>
      <c r="B23" s="8" t="s">
        <v>90</v>
      </c>
      <c r="C23" s="8" t="s">
        <v>91</v>
      </c>
      <c r="D23" s="8">
        <v>80</v>
      </c>
      <c r="E23" s="8">
        <v>20</v>
      </c>
      <c r="F23" s="8" t="s">
        <v>36</v>
      </c>
    </row>
    <row r="24" spans="1:6" ht="15.75" customHeight="1" x14ac:dyDescent="0.25">
      <c r="A24" s="5" t="s">
        <v>92</v>
      </c>
      <c r="B24" s="5" t="s">
        <v>93</v>
      </c>
      <c r="C24" s="5" t="s">
        <v>94</v>
      </c>
      <c r="D24" s="5">
        <v>150</v>
      </c>
      <c r="E24" s="5">
        <v>30</v>
      </c>
      <c r="F24" s="5"/>
    </row>
    <row r="25" spans="1:6" ht="15.75" customHeight="1" x14ac:dyDescent="0.25">
      <c r="A25" s="8" t="s">
        <v>72</v>
      </c>
      <c r="B25" s="8" t="s">
        <v>73</v>
      </c>
      <c r="C25" s="8" t="s">
        <v>74</v>
      </c>
      <c r="D25" s="8">
        <v>50</v>
      </c>
      <c r="E25" s="8">
        <v>35</v>
      </c>
      <c r="F25" s="8" t="s">
        <v>75</v>
      </c>
    </row>
    <row r="26" spans="1:6" ht="15.75" customHeight="1" x14ac:dyDescent="0.25">
      <c r="A26" s="5" t="s">
        <v>95</v>
      </c>
      <c r="B26" s="5" t="s">
        <v>96</v>
      </c>
      <c r="C26" s="5" t="s">
        <v>97</v>
      </c>
      <c r="D26" s="5">
        <v>800</v>
      </c>
      <c r="E26" s="5">
        <v>45</v>
      </c>
      <c r="F26" s="5" t="s">
        <v>28</v>
      </c>
    </row>
    <row r="27" spans="1:6" ht="15.75" customHeight="1" x14ac:dyDescent="0.25">
      <c r="A27" s="8" t="s">
        <v>98</v>
      </c>
      <c r="B27" s="8" t="s">
        <v>81</v>
      </c>
      <c r="C27" s="8" t="s">
        <v>99</v>
      </c>
      <c r="D27" s="8"/>
      <c r="E27" s="8">
        <v>25</v>
      </c>
      <c r="F27" s="8" t="s">
        <v>32</v>
      </c>
    </row>
    <row r="28" spans="1:6" ht="15.75" customHeight="1" x14ac:dyDescent="0.25">
      <c r="A28" s="5" t="s">
        <v>100</v>
      </c>
      <c r="B28" s="5" t="s">
        <v>51</v>
      </c>
      <c r="C28" s="5" t="s">
        <v>101</v>
      </c>
      <c r="D28" s="5">
        <v>400</v>
      </c>
      <c r="E28" s="5">
        <v>40</v>
      </c>
      <c r="F28" s="5" t="s">
        <v>36</v>
      </c>
    </row>
    <row r="29" spans="1:6" ht="15.75" customHeight="1" x14ac:dyDescent="0.25">
      <c r="A29" s="8" t="s">
        <v>69</v>
      </c>
      <c r="B29" s="8" t="s">
        <v>70</v>
      </c>
      <c r="C29" s="8" t="s">
        <v>71</v>
      </c>
      <c r="D29" s="8">
        <v>250</v>
      </c>
      <c r="E29" s="8">
        <v>20</v>
      </c>
      <c r="F29" s="8" t="s">
        <v>46</v>
      </c>
    </row>
    <row r="30" spans="1:6" ht="15.75" customHeight="1" x14ac:dyDescent="0.25">
      <c r="A30" s="5" t="s">
        <v>102</v>
      </c>
      <c r="B30" s="5" t="s">
        <v>103</v>
      </c>
      <c r="C30" s="5" t="s">
        <v>104</v>
      </c>
      <c r="D30" s="5">
        <v>60</v>
      </c>
      <c r="E30" s="5">
        <v>30</v>
      </c>
      <c r="F30" s="5" t="s">
        <v>32</v>
      </c>
    </row>
    <row r="31" spans="1:6" ht="15.75" customHeight="1" x14ac:dyDescent="0.25">
      <c r="A31" s="8" t="s">
        <v>105</v>
      </c>
      <c r="B31" s="8" t="s">
        <v>106</v>
      </c>
      <c r="C31" s="8" t="s">
        <v>107</v>
      </c>
      <c r="D31" s="8">
        <v>40</v>
      </c>
      <c r="E31" s="8">
        <v>10</v>
      </c>
      <c r="F31" s="8" t="s">
        <v>36</v>
      </c>
    </row>
    <row r="32" spans="1:6" ht="15.75" customHeight="1" x14ac:dyDescent="0.25">
      <c r="A32" s="5" t="s">
        <v>108</v>
      </c>
      <c r="B32" s="5" t="s">
        <v>93</v>
      </c>
      <c r="C32" s="5" t="s">
        <v>109</v>
      </c>
      <c r="D32" s="5">
        <v>130</v>
      </c>
      <c r="E32" s="5">
        <v>5</v>
      </c>
      <c r="F32" s="5" t="s">
        <v>28</v>
      </c>
    </row>
    <row r="33" spans="1:6" ht="15.75" customHeight="1" x14ac:dyDescent="0.25">
      <c r="A33" s="8" t="s">
        <v>110</v>
      </c>
      <c r="B33" s="8" t="s">
        <v>111</v>
      </c>
      <c r="C33" s="8" t="s">
        <v>112</v>
      </c>
      <c r="D33" s="8">
        <v>50</v>
      </c>
      <c r="E33" s="8">
        <v>50</v>
      </c>
      <c r="F33" s="8" t="s">
        <v>32</v>
      </c>
    </row>
    <row r="34" spans="1:6" ht="15.75" customHeight="1" x14ac:dyDescent="0.25">
      <c r="A34" s="5" t="s">
        <v>60</v>
      </c>
      <c r="B34" s="5" t="s">
        <v>61</v>
      </c>
      <c r="C34" s="5" t="s">
        <v>62</v>
      </c>
      <c r="D34" s="5">
        <v>950</v>
      </c>
      <c r="E34" s="5">
        <v>25</v>
      </c>
      <c r="F34" s="5" t="s">
        <v>28</v>
      </c>
    </row>
    <row r="35" spans="1:6" ht="15.75" customHeight="1" x14ac:dyDescent="0.25">
      <c r="A35" s="8" t="s">
        <v>113</v>
      </c>
      <c r="B35" s="8" t="s">
        <v>114</v>
      </c>
      <c r="C35" s="8" t="s">
        <v>115</v>
      </c>
      <c r="D35" s="8">
        <v>100</v>
      </c>
      <c r="E35" s="8">
        <v>20</v>
      </c>
      <c r="F35" s="8" t="s">
        <v>75</v>
      </c>
    </row>
    <row r="36" spans="1:6" ht="15.75" customHeight="1" x14ac:dyDescent="0.25"/>
    <row r="37" spans="1:6" ht="15.75" customHeight="1" x14ac:dyDescent="0.25"/>
    <row r="38" spans="1:6" ht="15.75" customHeight="1" x14ac:dyDescent="0.25"/>
    <row r="39" spans="1:6" ht="15.75" customHeight="1" x14ac:dyDescent="0.25"/>
    <row r="40" spans="1:6" ht="15.75" customHeight="1" x14ac:dyDescent="0.25"/>
    <row r="41" spans="1:6" ht="15.75" customHeight="1" x14ac:dyDescent="0.25"/>
    <row r="42" spans="1:6" ht="15.75" customHeight="1" x14ac:dyDescent="0.25"/>
    <row r="43" spans="1:6" ht="15.75" customHeight="1" x14ac:dyDescent="0.25"/>
    <row r="44" spans="1:6" ht="15.75" customHeight="1" x14ac:dyDescent="0.25"/>
    <row r="45" spans="1:6" ht="15.75" customHeight="1" x14ac:dyDescent="0.25"/>
    <row r="46" spans="1:6" ht="15.75" customHeight="1" x14ac:dyDescent="0.25"/>
    <row r="47" spans="1:6" ht="15.75" customHeight="1" x14ac:dyDescent="0.25"/>
    <row r="48" spans="1:6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4CF2F-A306-4BC4-8617-B218BA697698}">
  <dimension ref="A1:K32"/>
  <sheetViews>
    <sheetView workbookViewId="0">
      <selection activeCell="D2" sqref="D2:D32"/>
    </sheetView>
  </sheetViews>
  <sheetFormatPr defaultRowHeight="12.5" x14ac:dyDescent="0.25"/>
  <cols>
    <col min="1" max="1" width="14.90625" customWidth="1"/>
    <col min="2" max="2" width="15.36328125" customWidth="1"/>
    <col min="3" max="3" width="13.54296875" customWidth="1"/>
    <col min="4" max="4" width="13.26953125" customWidth="1"/>
    <col min="5" max="5" width="12.26953125" customWidth="1"/>
    <col min="6" max="6" width="12.6328125" customWidth="1"/>
    <col min="7" max="7" width="13.26953125" customWidth="1"/>
    <col min="8" max="8" width="17.26953125" customWidth="1"/>
    <col min="9" max="9" width="25" customWidth="1"/>
    <col min="10" max="10" width="17.26953125" customWidth="1"/>
    <col min="11" max="11" width="20.54296875" customWidth="1"/>
  </cols>
  <sheetData>
    <row r="1" spans="1:11" ht="13" x14ac:dyDescent="0.3">
      <c r="A1" s="7" t="s">
        <v>19</v>
      </c>
      <c r="B1" s="7" t="s">
        <v>20</v>
      </c>
      <c r="C1" s="7" t="s">
        <v>21</v>
      </c>
      <c r="D1" s="9" t="s">
        <v>22</v>
      </c>
      <c r="E1" s="7" t="s">
        <v>23</v>
      </c>
      <c r="F1" s="7" t="s">
        <v>24</v>
      </c>
      <c r="G1" s="7" t="s">
        <v>116</v>
      </c>
      <c r="H1" s="7" t="s">
        <v>117</v>
      </c>
      <c r="I1" s="7" t="s">
        <v>118</v>
      </c>
      <c r="J1" s="7" t="s">
        <v>119</v>
      </c>
      <c r="K1" s="7" t="s">
        <v>132</v>
      </c>
    </row>
    <row r="2" spans="1:11" x14ac:dyDescent="0.25">
      <c r="A2" s="5" t="s">
        <v>25</v>
      </c>
      <c r="B2" s="5" t="s">
        <v>61</v>
      </c>
      <c r="C2" s="5" t="s">
        <v>27</v>
      </c>
      <c r="D2" s="11">
        <v>1000</v>
      </c>
      <c r="E2" s="5">
        <v>30</v>
      </c>
      <c r="F2" s="5" t="s">
        <v>28</v>
      </c>
      <c r="G2" s="8">
        <f>IF(ISBLANK(Table13[[#This Row],[Price ($)]]),AVERAGE(Table13[Price ($)]),Table13[[#This Row],[Price ($)]])</f>
        <v>1000</v>
      </c>
      <c r="H2" s="8" t="str">
        <f>IF(ISBLANK(Table13[[#This Row],[Category]]),"Unknown",Table13[[#This Row],[Category]])</f>
        <v>Electronics</v>
      </c>
      <c r="I2" s="10">
        <v>46050</v>
      </c>
      <c r="J2" s="8" t="s">
        <v>120</v>
      </c>
      <c r="K2" s="8" t="str">
        <f>_xlfn.CONCAT(Table13[[#This Row],[Brand Name]]," ",Table13[[#This Row],[Product Name]])</f>
        <v>Dell Laptop</v>
      </c>
    </row>
    <row r="3" spans="1:11" x14ac:dyDescent="0.25">
      <c r="A3" s="8" t="s">
        <v>29</v>
      </c>
      <c r="B3" s="8" t="s">
        <v>30</v>
      </c>
      <c r="C3" s="8" t="s">
        <v>31</v>
      </c>
      <c r="D3" s="12">
        <v>80</v>
      </c>
      <c r="E3" s="8">
        <v>15</v>
      </c>
      <c r="F3" s="8" t="s">
        <v>32</v>
      </c>
      <c r="G3" s="8">
        <f>IF(ISBLANK(Table13[[#This Row],[Price ($)]]),AVERAGE(Table13[Price ($)]),Table13[[#This Row],[Price ($)]])</f>
        <v>80</v>
      </c>
      <c r="H3" s="8" t="str">
        <f>IF(ISBLANK(Table13[[#This Row],[Category]]),"Unknown",Table13[[#This Row],[Category]])</f>
        <v>Fashion</v>
      </c>
      <c r="I3" s="10">
        <v>46068</v>
      </c>
      <c r="J3" s="8" t="s">
        <v>120</v>
      </c>
      <c r="K3" s="8" t="str">
        <f>_xlfn.CONCAT(Table13[[#This Row],[Brand Name]]," ",Table13[[#This Row],[Product Name]])</f>
        <v>Nike Sneakers</v>
      </c>
    </row>
    <row r="4" spans="1:11" x14ac:dyDescent="0.25">
      <c r="A4" s="5" t="s">
        <v>33</v>
      </c>
      <c r="B4" s="5" t="s">
        <v>34</v>
      </c>
      <c r="C4" s="5" t="s">
        <v>35</v>
      </c>
      <c r="D4" s="11">
        <v>130</v>
      </c>
      <c r="E4" s="5">
        <v>40</v>
      </c>
      <c r="F4" s="5" t="s">
        <v>36</v>
      </c>
      <c r="G4" s="8">
        <f>IF(ISBLANK(Table13[[#This Row],[Price ($)]]),AVERAGE(Table13[Price ($)]),Table13[[#This Row],[Price ($)]])</f>
        <v>130</v>
      </c>
      <c r="H4" s="8" t="str">
        <f>IF(ISBLANK(Table13[[#This Row],[Category]]),"Unknown",Table13[[#This Row],[Category]])</f>
        <v>Kitchen</v>
      </c>
      <c r="I4" s="10">
        <v>46084</v>
      </c>
      <c r="J4" s="8" t="s">
        <v>120</v>
      </c>
      <c r="K4" s="8" t="str">
        <f>_xlfn.CONCAT(Table13[[#This Row],[Brand Name]]," ",Table13[[#This Row],[Product Name]])</f>
        <v>Keurig Coffee Maker</v>
      </c>
    </row>
    <row r="5" spans="1:11" x14ac:dyDescent="0.25">
      <c r="A5" s="8" t="s">
        <v>37</v>
      </c>
      <c r="B5" s="8" t="s">
        <v>96</v>
      </c>
      <c r="C5" s="8" t="s">
        <v>39</v>
      </c>
      <c r="D5" s="12">
        <v>900</v>
      </c>
      <c r="E5" s="8">
        <v>25</v>
      </c>
      <c r="F5" s="8" t="s">
        <v>28</v>
      </c>
      <c r="G5" s="8">
        <f>IF(ISBLANK(Table13[[#This Row],[Price ($)]]),AVERAGE(Table13[Price ($)]),Table13[[#This Row],[Price ($)]])</f>
        <v>900</v>
      </c>
      <c r="H5" s="8" t="str">
        <f>IF(ISBLANK(Table13[[#This Row],[Category]]),"Unknown",Table13[[#This Row],[Category]])</f>
        <v>Electronics</v>
      </c>
      <c r="I5" s="10">
        <v>46123</v>
      </c>
      <c r="J5" s="8" t="s">
        <v>120</v>
      </c>
      <c r="K5" s="8" t="str">
        <f>_xlfn.CONCAT(Table13[[#This Row],[Brand Name]]," ",Table13[[#This Row],[Product Name]])</f>
        <v>Samsung Smartphone</v>
      </c>
    </row>
    <row r="6" spans="1:11" x14ac:dyDescent="0.25">
      <c r="A6" s="5" t="s">
        <v>40</v>
      </c>
      <c r="B6" s="5" t="s">
        <v>41</v>
      </c>
      <c r="C6" s="5" t="s">
        <v>42</v>
      </c>
      <c r="D6" s="11">
        <v>70</v>
      </c>
      <c r="E6" s="5">
        <v>20</v>
      </c>
      <c r="F6" s="5"/>
      <c r="G6" s="8">
        <f>IF(ISBLANK(Table13[[#This Row],[Price ($)]]),AVERAGE(Table13[Price ($)]),Table13[[#This Row],[Price ($)]])</f>
        <v>70</v>
      </c>
      <c r="H6" s="8" t="str">
        <f>IF(ISBLANK(Table13[[#This Row],[Category]]),"Unknown",Table13[[#This Row],[Category]])</f>
        <v>Unknown</v>
      </c>
      <c r="I6" s="10">
        <v>46164</v>
      </c>
      <c r="J6" s="8" t="s">
        <v>120</v>
      </c>
      <c r="K6" s="8" t="str">
        <f>_xlfn.CONCAT(Table13[[#This Row],[Brand Name]]," ",Table13[[#This Row],[Product Name]])</f>
        <v>North Face Backpack</v>
      </c>
    </row>
    <row r="7" spans="1:11" x14ac:dyDescent="0.25">
      <c r="A7" s="8" t="s">
        <v>43</v>
      </c>
      <c r="B7" s="8" t="s">
        <v>44</v>
      </c>
      <c r="C7" s="8" t="s">
        <v>45</v>
      </c>
      <c r="D7" s="12"/>
      <c r="E7" s="8">
        <v>45</v>
      </c>
      <c r="F7" s="8" t="s">
        <v>28</v>
      </c>
      <c r="G7" s="8">
        <f>IF(ISBLANK(Table13[[#This Row],[Price ($)]]),AVERAGE(Table13[Price ($)]),Table13[[#This Row],[Price ($)]])</f>
        <v>297.85714285714283</v>
      </c>
      <c r="H7" s="8" t="str">
        <f>IF(ISBLANK(Table13[[#This Row],[Category]]),"Unknown",Table13[[#This Row],[Category]])</f>
        <v>Electronics</v>
      </c>
      <c r="I7" s="10">
        <v>46180</v>
      </c>
      <c r="J7" s="8" t="s">
        <v>121</v>
      </c>
      <c r="K7" s="8" t="str">
        <f>_xlfn.CONCAT(Table13[[#This Row],[Brand Name]]," ",Table13[[#This Row],[Product Name]])</f>
        <v>Sony Headphones</v>
      </c>
    </row>
    <row r="8" spans="1:11" x14ac:dyDescent="0.25">
      <c r="A8" s="5" t="s">
        <v>47</v>
      </c>
      <c r="B8" s="5" t="s">
        <v>48</v>
      </c>
      <c r="C8" s="5" t="s">
        <v>49</v>
      </c>
      <c r="D8" s="11">
        <v>30</v>
      </c>
      <c r="E8" s="5">
        <v>5</v>
      </c>
      <c r="F8" s="5" t="s">
        <v>32</v>
      </c>
      <c r="G8" s="8">
        <f>IF(ISBLANK(Table13[[#This Row],[Price ($)]]),AVERAGE(Table13[Price ($)]),Table13[[#This Row],[Price ($)]])</f>
        <v>30</v>
      </c>
      <c r="H8" s="8" t="str">
        <f>IF(ISBLANK(Table13[[#This Row],[Category]]),"Unknown",Table13[[#This Row],[Category]])</f>
        <v>Fashion</v>
      </c>
      <c r="I8" s="10">
        <v>46222</v>
      </c>
      <c r="J8" s="8" t="s">
        <v>121</v>
      </c>
      <c r="K8" s="8" t="str">
        <f>_xlfn.CONCAT(Table13[[#This Row],[Brand Name]]," ",Table13[[#This Row],[Product Name]])</f>
        <v>Adidas T-shirt</v>
      </c>
    </row>
    <row r="9" spans="1:11" x14ac:dyDescent="0.25">
      <c r="A9" s="8" t="s">
        <v>50</v>
      </c>
      <c r="B9" s="8" t="s">
        <v>51</v>
      </c>
      <c r="C9" s="8" t="s">
        <v>52</v>
      </c>
      <c r="D9" s="12">
        <v>90</v>
      </c>
      <c r="E9" s="8">
        <v>35</v>
      </c>
      <c r="F9" s="8" t="s">
        <v>36</v>
      </c>
      <c r="G9" s="8">
        <f>IF(ISBLANK(Table13[[#This Row],[Price ($)]]),AVERAGE(Table13[Price ($)]),Table13[[#This Row],[Price ($)]])</f>
        <v>90</v>
      </c>
      <c r="H9" s="8" t="str">
        <f>IF(ISBLANK(Table13[[#This Row],[Category]]),"Unknown",Table13[[#This Row],[Category]])</f>
        <v>Kitchen</v>
      </c>
      <c r="I9" s="10">
        <v>46257</v>
      </c>
      <c r="J9" s="8" t="s">
        <v>121</v>
      </c>
      <c r="K9" s="8" t="str">
        <f>_xlfn.CONCAT(Table13[[#This Row],[Brand Name]]," ",Table13[[#This Row],[Product Name]])</f>
        <v>Ninja Blender</v>
      </c>
    </row>
    <row r="10" spans="1:11" x14ac:dyDescent="0.25">
      <c r="A10" s="5" t="s">
        <v>53</v>
      </c>
      <c r="B10" s="5" t="s">
        <v>54</v>
      </c>
      <c r="C10" s="5" t="s">
        <v>55</v>
      </c>
      <c r="D10" s="11">
        <v>500</v>
      </c>
      <c r="E10" s="5">
        <v>50</v>
      </c>
      <c r="F10" s="5" t="s">
        <v>28</v>
      </c>
      <c r="G10" s="8">
        <f>IF(ISBLANK(Table13[[#This Row],[Price ($)]]),AVERAGE(Table13[Price ($)]),Table13[[#This Row],[Price ($)]])</f>
        <v>500</v>
      </c>
      <c r="H10" s="8" t="str">
        <f>IF(ISBLANK(Table13[[#This Row],[Category]]),"Unknown",Table13[[#This Row],[Category]])</f>
        <v>Electronics</v>
      </c>
      <c r="I10" s="10">
        <v>46270</v>
      </c>
      <c r="J10" s="8" t="s">
        <v>121</v>
      </c>
      <c r="K10" s="8" t="str">
        <f>_xlfn.CONCAT(Table13[[#This Row],[Brand Name]]," ",Table13[[#This Row],[Product Name]])</f>
        <v>Apple Tablet</v>
      </c>
    </row>
    <row r="11" spans="1:11" x14ac:dyDescent="0.25">
      <c r="A11" s="8" t="s">
        <v>56</v>
      </c>
      <c r="B11" s="8" t="s">
        <v>57</v>
      </c>
      <c r="C11" s="8" t="s">
        <v>58</v>
      </c>
      <c r="D11" s="12">
        <v>130</v>
      </c>
      <c r="E11" s="8">
        <v>10</v>
      </c>
      <c r="F11" s="8" t="s">
        <v>59</v>
      </c>
      <c r="G11" s="8">
        <f>IF(ISBLANK(Table13[[#This Row],[Price ($)]]),AVERAGE(Table13[Price ($)]),Table13[[#This Row],[Price ($)]])</f>
        <v>130</v>
      </c>
      <c r="H11" s="8" t="str">
        <f>IF(ISBLANK(Table13[[#This Row],[Category]]),"Unknown",Table13[[#This Row],[Category]])</f>
        <v>Outdoor</v>
      </c>
      <c r="I11" s="10">
        <v>46309</v>
      </c>
      <c r="J11" s="8" t="s">
        <v>121</v>
      </c>
      <c r="K11" s="8" t="str">
        <f>_xlfn.CONCAT(Table13[[#This Row],[Brand Name]]," ",Table13[[#This Row],[Product Name]])</f>
        <v>Timberland Hiking Boots</v>
      </c>
    </row>
    <row r="12" spans="1:11" x14ac:dyDescent="0.25">
      <c r="A12" s="5" t="s">
        <v>60</v>
      </c>
      <c r="B12" s="5" t="s">
        <v>61</v>
      </c>
      <c r="C12" s="5" t="s">
        <v>62</v>
      </c>
      <c r="D12" s="11">
        <v>950</v>
      </c>
      <c r="E12" s="5">
        <v>25</v>
      </c>
      <c r="F12" s="5" t="s">
        <v>28</v>
      </c>
      <c r="G12" s="8">
        <f>IF(ISBLANK(Table13[[#This Row],[Price ($)]]),AVERAGE(Table13[Price ($)]),Table13[[#This Row],[Price ($)]])</f>
        <v>950</v>
      </c>
      <c r="H12" s="8" t="str">
        <f>IF(ISBLANK(Table13[[#This Row],[Category]]),"Unknown",Table13[[#This Row],[Category]])</f>
        <v>Electronics</v>
      </c>
      <c r="I12" s="10">
        <v>46190</v>
      </c>
      <c r="J12" s="8" t="s">
        <v>122</v>
      </c>
      <c r="K12" s="8" t="str">
        <f>_xlfn.CONCAT(Table13[[#This Row],[Brand Name]]," ",Table13[[#This Row],[Product Name]])</f>
        <v>HP Laptop</v>
      </c>
    </row>
    <row r="13" spans="1:11" x14ac:dyDescent="0.25">
      <c r="A13" s="8" t="s">
        <v>63</v>
      </c>
      <c r="B13" s="8" t="s">
        <v>30</v>
      </c>
      <c r="C13" s="8" t="s">
        <v>49</v>
      </c>
      <c r="D13" s="12">
        <v>90</v>
      </c>
      <c r="E13" s="8">
        <v>40</v>
      </c>
      <c r="F13" s="8"/>
      <c r="G13" s="8">
        <f>IF(ISBLANK(Table13[[#This Row],[Price ($)]]),AVERAGE(Table13[Price ($)]),Table13[[#This Row],[Price ($)]])</f>
        <v>90</v>
      </c>
      <c r="H13" s="8" t="str">
        <f>IF(ISBLANK(Table13[[#This Row],[Category]]),"Unknown",Table13[[#This Row],[Category]])</f>
        <v>Unknown</v>
      </c>
      <c r="I13" s="10">
        <v>46351</v>
      </c>
      <c r="J13" s="8" t="s">
        <v>123</v>
      </c>
      <c r="K13" s="8" t="str">
        <f>_xlfn.CONCAT(Table13[[#This Row],[Brand Name]]," ",Table13[[#This Row],[Product Name]])</f>
        <v>Adidas Sneakers</v>
      </c>
    </row>
    <row r="14" spans="1:11" x14ac:dyDescent="0.25">
      <c r="A14" s="5" t="s">
        <v>64</v>
      </c>
      <c r="B14" s="5" t="s">
        <v>34</v>
      </c>
      <c r="C14" s="5" t="s">
        <v>65</v>
      </c>
      <c r="D14" s="11">
        <v>120</v>
      </c>
      <c r="E14" s="5">
        <v>35</v>
      </c>
      <c r="F14" s="5"/>
      <c r="G14" s="8">
        <f>IF(ISBLANK(Table13[[#This Row],[Price ($)]]),AVERAGE(Table13[Price ($)]),Table13[[#This Row],[Price ($)]])</f>
        <v>120</v>
      </c>
      <c r="H14" s="8" t="str">
        <f>IF(ISBLANK(Table13[[#This Row],[Category]]),"Unknown",Table13[[#This Row],[Category]])</f>
        <v>Unknown</v>
      </c>
      <c r="I14" s="10">
        <v>46364</v>
      </c>
      <c r="J14" s="8" t="s">
        <v>124</v>
      </c>
      <c r="K14" s="8" t="str">
        <f>_xlfn.CONCAT(Table13[[#This Row],[Brand Name]]," ",Table13[[#This Row],[Product Name]])</f>
        <v>Nespresso Coffee Maker</v>
      </c>
    </row>
    <row r="15" spans="1:11" x14ac:dyDescent="0.25">
      <c r="A15" s="8" t="s">
        <v>66</v>
      </c>
      <c r="B15" s="8" t="s">
        <v>67</v>
      </c>
      <c r="C15" s="8" t="s">
        <v>68</v>
      </c>
      <c r="D15" s="12">
        <v>150</v>
      </c>
      <c r="E15" s="8">
        <v>15</v>
      </c>
      <c r="F15" s="8" t="s">
        <v>28</v>
      </c>
      <c r="G15" s="8">
        <f>IF(ISBLANK(Table13[[#This Row],[Price ($)]]),AVERAGE(Table13[Price ($)]),Table13[[#This Row],[Price ($)]])</f>
        <v>150</v>
      </c>
      <c r="H15" s="8" t="str">
        <f>IF(ISBLANK(Table13[[#This Row],[Category]]),"Unknown",Table13[[#This Row],[Category]])</f>
        <v>Electronics</v>
      </c>
      <c r="I15" s="10">
        <v>46071</v>
      </c>
      <c r="J15" s="8" t="s">
        <v>125</v>
      </c>
      <c r="K15" s="8" t="str">
        <f>_xlfn.CONCAT(Table13[[#This Row],[Brand Name]]," ",Table13[[#This Row],[Product Name]])</f>
        <v>Fitbit Smartwatch</v>
      </c>
    </row>
    <row r="16" spans="1:11" x14ac:dyDescent="0.25">
      <c r="A16" s="5" t="s">
        <v>69</v>
      </c>
      <c r="B16" s="5" t="s">
        <v>44</v>
      </c>
      <c r="C16" s="5" t="s">
        <v>71</v>
      </c>
      <c r="D16" s="11">
        <v>250</v>
      </c>
      <c r="E16" s="5">
        <v>20</v>
      </c>
      <c r="F16" s="5" t="s">
        <v>28</v>
      </c>
      <c r="G16" s="8">
        <f>IF(ISBLANK(Table13[[#This Row],[Price ($)]]),AVERAGE(Table13[Price ($)]),Table13[[#This Row],[Price ($)]])</f>
        <v>250</v>
      </c>
      <c r="H16" s="8" t="str">
        <f>IF(ISBLANK(Table13[[#This Row],[Category]]),"Unknown",Table13[[#This Row],[Category]])</f>
        <v>Electronics</v>
      </c>
      <c r="I16" s="10">
        <v>46128</v>
      </c>
      <c r="J16" s="8" t="s">
        <v>126</v>
      </c>
      <c r="K16" s="8" t="str">
        <f>_xlfn.CONCAT(Table13[[#This Row],[Brand Name]]," ",Table13[[#This Row],[Product Name]])</f>
        <v>Bose Headphones</v>
      </c>
    </row>
    <row r="17" spans="1:11" x14ac:dyDescent="0.25">
      <c r="A17" s="8" t="s">
        <v>72</v>
      </c>
      <c r="B17" s="8" t="s">
        <v>73</v>
      </c>
      <c r="C17" s="8" t="s">
        <v>74</v>
      </c>
      <c r="D17" s="12">
        <v>50</v>
      </c>
      <c r="E17" s="8">
        <v>35</v>
      </c>
      <c r="F17" s="8" t="s">
        <v>75</v>
      </c>
      <c r="G17" s="8">
        <f>IF(ISBLANK(Table13[[#This Row],[Price ($)]]),AVERAGE(Table13[Price ($)]),Table13[[#This Row],[Price ($)]])</f>
        <v>50</v>
      </c>
      <c r="H17" s="8" t="str">
        <f>IF(ISBLANK(Table13[[#This Row],[Category]]),"Unknown",Table13[[#This Row],[Category]])</f>
        <v>Accessories</v>
      </c>
      <c r="I17" s="10">
        <v>46255</v>
      </c>
      <c r="J17" s="8" t="s">
        <v>125</v>
      </c>
      <c r="K17" s="8" t="str">
        <f>_xlfn.CONCAT(Table13[[#This Row],[Brand Name]]," ",Table13[[#This Row],[Product Name]])</f>
        <v>Samsonite Laptop Bag</v>
      </c>
    </row>
    <row r="18" spans="1:11" x14ac:dyDescent="0.25">
      <c r="A18" s="5" t="s">
        <v>76</v>
      </c>
      <c r="B18" s="5" t="s">
        <v>67</v>
      </c>
      <c r="C18" s="5" t="s">
        <v>77</v>
      </c>
      <c r="D18" s="11">
        <v>160</v>
      </c>
      <c r="E18" s="5">
        <v>15</v>
      </c>
      <c r="F18" s="5" t="s">
        <v>28</v>
      </c>
      <c r="G18" s="8">
        <f>IF(ISBLANK(Table13[[#This Row],[Price ($)]]),AVERAGE(Table13[Price ($)]),Table13[[#This Row],[Price ($)]])</f>
        <v>160</v>
      </c>
      <c r="H18" s="8" t="str">
        <f>IF(ISBLANK(Table13[[#This Row],[Category]]),"Unknown",Table13[[#This Row],[Category]])</f>
        <v>Electronics</v>
      </c>
      <c r="I18" s="10">
        <v>46254</v>
      </c>
      <c r="J18" s="8" t="s">
        <v>127</v>
      </c>
      <c r="K18" s="8" t="str">
        <f>_xlfn.CONCAT(Table13[[#This Row],[Brand Name]]," ",Table13[[#This Row],[Product Name]])</f>
        <v>Huawei Smartwatch</v>
      </c>
    </row>
    <row r="19" spans="1:11" x14ac:dyDescent="0.25">
      <c r="A19" s="8" t="s">
        <v>78</v>
      </c>
      <c r="B19" s="8" t="s">
        <v>61</v>
      </c>
      <c r="C19" s="8" t="s">
        <v>79</v>
      </c>
      <c r="D19" s="12">
        <v>980</v>
      </c>
      <c r="E19" s="8">
        <v>10</v>
      </c>
      <c r="F19" s="8" t="s">
        <v>28</v>
      </c>
      <c r="G19" s="8">
        <f>IF(ISBLANK(Table13[[#This Row],[Price ($)]]),AVERAGE(Table13[Price ($)]),Table13[[#This Row],[Price ($)]])</f>
        <v>980</v>
      </c>
      <c r="H19" s="8" t="str">
        <f>IF(ISBLANK(Table13[[#This Row],[Category]]),"Unknown",Table13[[#This Row],[Category]])</f>
        <v>Electronics</v>
      </c>
      <c r="I19" s="10">
        <v>46049</v>
      </c>
      <c r="J19" s="8" t="s">
        <v>128</v>
      </c>
      <c r="K19" s="8" t="str">
        <f>_xlfn.CONCAT(Table13[[#This Row],[Brand Name]]," ",Table13[[#This Row],[Product Name]])</f>
        <v>Asus Laptop</v>
      </c>
    </row>
    <row r="20" spans="1:11" x14ac:dyDescent="0.25">
      <c r="A20" s="5" t="s">
        <v>80</v>
      </c>
      <c r="B20" s="5" t="s">
        <v>81</v>
      </c>
      <c r="C20" s="5" t="s">
        <v>82</v>
      </c>
      <c r="D20" s="11">
        <v>150</v>
      </c>
      <c r="E20" s="5">
        <v>15</v>
      </c>
      <c r="F20" s="5" t="s">
        <v>32</v>
      </c>
      <c r="G20" s="8">
        <f>IF(ISBLANK(Table13[[#This Row],[Price ($)]]),AVERAGE(Table13[Price ($)]),Table13[[#This Row],[Price ($)]])</f>
        <v>150</v>
      </c>
      <c r="H20" s="8" t="str">
        <f>IF(ISBLANK(Table13[[#This Row],[Category]]),"Unknown",Table13[[#This Row],[Category]])</f>
        <v>Fashion</v>
      </c>
      <c r="I20" s="10">
        <v>46082</v>
      </c>
      <c r="J20" s="8" t="s">
        <v>121</v>
      </c>
      <c r="K20" s="8" t="str">
        <f>_xlfn.CONCAT(Table13[[#This Row],[Brand Name]]," ",Table13[[#This Row],[Product Name]])</f>
        <v>Oakley Sunglasses</v>
      </c>
    </row>
    <row r="21" spans="1:11" x14ac:dyDescent="0.25">
      <c r="A21" s="8" t="s">
        <v>83</v>
      </c>
      <c r="B21" s="8" t="s">
        <v>84</v>
      </c>
      <c r="C21" s="8" t="s">
        <v>85</v>
      </c>
      <c r="D21" s="12"/>
      <c r="E21" s="8">
        <v>10</v>
      </c>
      <c r="F21" s="8" t="s">
        <v>59</v>
      </c>
      <c r="G21" s="8">
        <f>IF(ISBLANK(Table13[[#This Row],[Price ($)]]),AVERAGE(Table13[Price ($)]),Table13[[#This Row],[Price ($)]])</f>
        <v>297.85714285714283</v>
      </c>
      <c r="H21" s="8" t="str">
        <f>IF(ISBLANK(Table13[[#This Row],[Category]]),"Unknown",Table13[[#This Row],[Category]])</f>
        <v>Outdoor</v>
      </c>
      <c r="I21" s="10">
        <v>46248</v>
      </c>
      <c r="J21" s="8" t="s">
        <v>120</v>
      </c>
      <c r="K21" s="8" t="str">
        <f>_xlfn.CONCAT(Table13[[#This Row],[Brand Name]]," ",Table13[[#This Row],[Product Name]])</f>
        <v>Coleman Camping Tent</v>
      </c>
    </row>
    <row r="22" spans="1:11" x14ac:dyDescent="0.25">
      <c r="A22" s="5" t="s">
        <v>86</v>
      </c>
      <c r="B22" s="5" t="s">
        <v>87</v>
      </c>
      <c r="C22" s="5" t="s">
        <v>88</v>
      </c>
      <c r="D22" s="11">
        <v>700</v>
      </c>
      <c r="E22" s="5">
        <v>50</v>
      </c>
      <c r="F22" s="5" t="s">
        <v>28</v>
      </c>
      <c r="G22" s="8">
        <f>IF(ISBLANK(Table13[[#This Row],[Price ($)]]),AVERAGE(Table13[Price ($)]),Table13[[#This Row],[Price ($)]])</f>
        <v>700</v>
      </c>
      <c r="H22" s="8" t="str">
        <f>IF(ISBLANK(Table13[[#This Row],[Category]]),"Unknown",Table13[[#This Row],[Category]])</f>
        <v>Electronics</v>
      </c>
      <c r="I22" s="10">
        <v>46156</v>
      </c>
      <c r="J22" s="8" t="s">
        <v>129</v>
      </c>
      <c r="K22" s="8" t="str">
        <f>_xlfn.CONCAT(Table13[[#This Row],[Brand Name]]," ",Table13[[#This Row],[Product Name]])</f>
        <v>Nikon Camera</v>
      </c>
    </row>
    <row r="23" spans="1:11" x14ac:dyDescent="0.25">
      <c r="A23" s="8" t="s">
        <v>89</v>
      </c>
      <c r="B23" s="8" t="s">
        <v>90</v>
      </c>
      <c r="C23" s="8" t="s">
        <v>91</v>
      </c>
      <c r="D23" s="12">
        <v>80</v>
      </c>
      <c r="E23" s="8">
        <v>20</v>
      </c>
      <c r="F23" s="8" t="s">
        <v>36</v>
      </c>
      <c r="G23" s="8">
        <f>IF(ISBLANK(Table13[[#This Row],[Price ($)]]),AVERAGE(Table13[Price ($)]),Table13[[#This Row],[Price ($)]])</f>
        <v>80</v>
      </c>
      <c r="H23" s="8" t="str">
        <f>IF(ISBLANK(Table13[[#This Row],[Category]]),"Unknown",Table13[[#This Row],[Category]])</f>
        <v>Kitchen</v>
      </c>
      <c r="I23" s="10">
        <v>46031</v>
      </c>
      <c r="J23" s="8" t="s">
        <v>125</v>
      </c>
      <c r="K23" s="8" t="str">
        <f>_xlfn.CONCAT(Table13[[#This Row],[Brand Name]]," ",Table13[[#This Row],[Product Name]])</f>
        <v>Panasonic Microwave</v>
      </c>
    </row>
    <row r="24" spans="1:11" x14ac:dyDescent="0.25">
      <c r="A24" s="5" t="s">
        <v>92</v>
      </c>
      <c r="B24" s="5" t="s">
        <v>93</v>
      </c>
      <c r="C24" s="5" t="s">
        <v>94</v>
      </c>
      <c r="D24" s="11">
        <v>150</v>
      </c>
      <c r="E24" s="5">
        <v>30</v>
      </c>
      <c r="F24" s="5"/>
      <c r="G24" s="8">
        <f>IF(ISBLANK(Table13[[#This Row],[Price ($)]]),AVERAGE(Table13[Price ($)]),Table13[[#This Row],[Price ($)]])</f>
        <v>150</v>
      </c>
      <c r="H24" s="8" t="str">
        <f>IF(ISBLANK(Table13[[#This Row],[Category]]),"Unknown",Table13[[#This Row],[Category]])</f>
        <v>Unknown</v>
      </c>
      <c r="I24" s="10">
        <v>46222</v>
      </c>
      <c r="J24" s="8" t="s">
        <v>130</v>
      </c>
      <c r="K24" s="8" t="str">
        <f>_xlfn.CONCAT(Table13[[#This Row],[Brand Name]]," ",Table13[[#This Row],[Product Name]])</f>
        <v>Xiaomi Fitness Tracker</v>
      </c>
    </row>
    <row r="25" spans="1:11" x14ac:dyDescent="0.25">
      <c r="A25" s="5" t="s">
        <v>95</v>
      </c>
      <c r="B25" s="5" t="s">
        <v>96</v>
      </c>
      <c r="C25" s="5" t="s">
        <v>97</v>
      </c>
      <c r="D25" s="11">
        <v>800</v>
      </c>
      <c r="E25" s="5">
        <v>45</v>
      </c>
      <c r="F25" s="5" t="s">
        <v>28</v>
      </c>
      <c r="G25" s="8">
        <f>IF(ISBLANK(Table13[[#This Row],[Price ($)]]),AVERAGE(Table13[Price ($)]),Table13[[#This Row],[Price ($)]])</f>
        <v>800</v>
      </c>
      <c r="H25" s="8" t="str">
        <f>IF(ISBLANK(Table13[[#This Row],[Category]]),"Unknown",Table13[[#This Row],[Category]])</f>
        <v>Electronics</v>
      </c>
      <c r="I25" s="10">
        <v>46294</v>
      </c>
      <c r="J25" s="8" t="s">
        <v>125</v>
      </c>
      <c r="K25" s="8" t="str">
        <f>_xlfn.CONCAT(Table13[[#This Row],[Brand Name]]," ",Table13[[#This Row],[Product Name]])</f>
        <v>Google Smartphone</v>
      </c>
    </row>
    <row r="26" spans="1:11" x14ac:dyDescent="0.25">
      <c r="A26" s="8" t="s">
        <v>98</v>
      </c>
      <c r="B26" s="8" t="s">
        <v>81</v>
      </c>
      <c r="C26" s="8" t="s">
        <v>99</v>
      </c>
      <c r="D26" s="12"/>
      <c r="E26" s="8">
        <v>25</v>
      </c>
      <c r="F26" s="8" t="s">
        <v>32</v>
      </c>
      <c r="G26" s="8">
        <f>IF(ISBLANK(Table13[[#This Row],[Price ($)]]),AVERAGE(Table13[Price ($)]),Table13[[#This Row],[Price ($)]])</f>
        <v>297.85714285714283</v>
      </c>
      <c r="H26" s="8" t="str">
        <f>IF(ISBLANK(Table13[[#This Row],[Category]]),"Unknown",Table13[[#This Row],[Category]])</f>
        <v>Fashion</v>
      </c>
      <c r="I26" s="10">
        <v>46176</v>
      </c>
      <c r="J26" s="8" t="s">
        <v>125</v>
      </c>
      <c r="K26" s="8" t="str">
        <f>_xlfn.CONCAT(Table13[[#This Row],[Brand Name]]," ",Table13[[#This Row],[Product Name]])</f>
        <v>Ray-Ban Sunglasses</v>
      </c>
    </row>
    <row r="27" spans="1:11" x14ac:dyDescent="0.25">
      <c r="A27" s="5" t="s">
        <v>100</v>
      </c>
      <c r="B27" s="5" t="s">
        <v>51</v>
      </c>
      <c r="C27" s="5" t="s">
        <v>101</v>
      </c>
      <c r="D27" s="11">
        <v>400</v>
      </c>
      <c r="E27" s="5">
        <v>40</v>
      </c>
      <c r="F27" s="5" t="s">
        <v>36</v>
      </c>
      <c r="G27" s="8">
        <f>IF(ISBLANK(Table13[[#This Row],[Price ($)]]),AVERAGE(Table13[Price ($)]),Table13[[#This Row],[Price ($)]])</f>
        <v>400</v>
      </c>
      <c r="H27" s="8" t="str">
        <f>IF(ISBLANK(Table13[[#This Row],[Category]]),"Unknown",Table13[[#This Row],[Category]])</f>
        <v>Kitchen</v>
      </c>
      <c r="I27" s="10">
        <v>46214</v>
      </c>
      <c r="J27" s="8" t="s">
        <v>125</v>
      </c>
      <c r="K27" s="8" t="str">
        <f>_xlfn.CONCAT(Table13[[#This Row],[Brand Name]]," ",Table13[[#This Row],[Product Name]])</f>
        <v>Vitamix Blender</v>
      </c>
    </row>
    <row r="28" spans="1:11" x14ac:dyDescent="0.25">
      <c r="A28" s="5" t="s">
        <v>102</v>
      </c>
      <c r="B28" s="5" t="s">
        <v>103</v>
      </c>
      <c r="C28" s="5" t="s">
        <v>104</v>
      </c>
      <c r="D28" s="11">
        <v>60</v>
      </c>
      <c r="E28" s="5">
        <v>30</v>
      </c>
      <c r="F28" s="5" t="s">
        <v>32</v>
      </c>
      <c r="G28" s="8">
        <f>IF(ISBLANK(Table13[[#This Row],[Price ($)]]),AVERAGE(Table13[Price ($)]),Table13[[#This Row],[Price ($)]])</f>
        <v>60</v>
      </c>
      <c r="H28" s="8" t="str">
        <f>IF(ISBLANK(Table13[[#This Row],[Category]]),"Unknown",Table13[[#This Row],[Category]])</f>
        <v>Fashion</v>
      </c>
      <c r="I28" s="10">
        <v>46088</v>
      </c>
      <c r="J28" s="8" t="s">
        <v>125</v>
      </c>
      <c r="K28" s="8" t="str">
        <f>_xlfn.CONCAT(Table13[[#This Row],[Brand Name]]," ",Table13[[#This Row],[Product Name]])</f>
        <v>Zara Dress</v>
      </c>
    </row>
    <row r="29" spans="1:11" x14ac:dyDescent="0.25">
      <c r="A29" s="8" t="s">
        <v>105</v>
      </c>
      <c r="B29" s="8" t="s">
        <v>106</v>
      </c>
      <c r="C29" s="8" t="s">
        <v>107</v>
      </c>
      <c r="D29" s="12">
        <v>40</v>
      </c>
      <c r="E29" s="8">
        <v>10</v>
      </c>
      <c r="F29" s="8" t="s">
        <v>36</v>
      </c>
      <c r="G29" s="8">
        <f>IF(ISBLANK(Table13[[#This Row],[Price ($)]]),AVERAGE(Table13[Price ($)]),Table13[[#This Row],[Price ($)]])</f>
        <v>40</v>
      </c>
      <c r="H29" s="8" t="str">
        <f>IF(ISBLANK(Table13[[#This Row],[Category]]),"Unknown",Table13[[#This Row],[Category]])</f>
        <v>Kitchen</v>
      </c>
      <c r="I29" s="10">
        <v>46125</v>
      </c>
      <c r="J29" s="8" t="s">
        <v>125</v>
      </c>
      <c r="K29" s="8" t="str">
        <f>_xlfn.CONCAT(Table13[[#This Row],[Brand Name]]," ",Table13[[#This Row],[Product Name]])</f>
        <v>Hamilton Toaster</v>
      </c>
    </row>
    <row r="30" spans="1:11" x14ac:dyDescent="0.25">
      <c r="A30" s="5" t="s">
        <v>108</v>
      </c>
      <c r="B30" s="5" t="s">
        <v>93</v>
      </c>
      <c r="C30" s="5" t="s">
        <v>109</v>
      </c>
      <c r="D30" s="11">
        <v>130</v>
      </c>
      <c r="E30" s="5">
        <v>5</v>
      </c>
      <c r="F30" s="5" t="s">
        <v>28</v>
      </c>
      <c r="G30" s="8">
        <f>IF(ISBLANK(Table13[[#This Row],[Price ($)]]),AVERAGE(Table13[Price ($)]),Table13[[#This Row],[Price ($)]])</f>
        <v>130</v>
      </c>
      <c r="H30" s="8" t="str">
        <f>IF(ISBLANK(Table13[[#This Row],[Category]]),"Unknown",Table13[[#This Row],[Category]])</f>
        <v>Electronics</v>
      </c>
      <c r="I30" s="10">
        <v>46166</v>
      </c>
      <c r="J30" s="8" t="s">
        <v>125</v>
      </c>
      <c r="K30" s="8" t="str">
        <f>_xlfn.CONCAT(Table13[[#This Row],[Brand Name]]," ",Table13[[#This Row],[Product Name]])</f>
        <v>Garmin Fitness Tracker</v>
      </c>
    </row>
    <row r="31" spans="1:11" x14ac:dyDescent="0.25">
      <c r="A31" s="8" t="s">
        <v>110</v>
      </c>
      <c r="B31" s="8" t="s">
        <v>111</v>
      </c>
      <c r="C31" s="8" t="s">
        <v>112</v>
      </c>
      <c r="D31" s="12">
        <v>50</v>
      </c>
      <c r="E31" s="8">
        <v>50</v>
      </c>
      <c r="F31" s="8" t="s">
        <v>32</v>
      </c>
      <c r="G31" s="8">
        <f>IF(ISBLANK(Table13[[#This Row],[Price ($)]]),AVERAGE(Table13[Price ($)]),Table13[[#This Row],[Price ($)]])</f>
        <v>50</v>
      </c>
      <c r="H31" s="8" t="str">
        <f>IF(ISBLANK(Table13[[#This Row],[Category]]),"Unknown",Table13[[#This Row],[Category]])</f>
        <v>Fashion</v>
      </c>
      <c r="I31" s="10">
        <v>46358</v>
      </c>
      <c r="J31" s="8" t="s">
        <v>125</v>
      </c>
      <c r="K31" s="8" t="str">
        <f>_xlfn.CONCAT(Table13[[#This Row],[Brand Name]]," ",Table13[[#This Row],[Product Name]])</f>
        <v>Levi's Jeans</v>
      </c>
    </row>
    <row r="32" spans="1:11" x14ac:dyDescent="0.25">
      <c r="A32" s="8" t="s">
        <v>113</v>
      </c>
      <c r="B32" s="8" t="s">
        <v>114</v>
      </c>
      <c r="C32" s="8" t="s">
        <v>115</v>
      </c>
      <c r="D32" s="12">
        <v>100</v>
      </c>
      <c r="E32" s="8">
        <v>20</v>
      </c>
      <c r="F32" s="8" t="s">
        <v>75</v>
      </c>
      <c r="G32" s="8">
        <f>IF(ISBLANK(Table13[[#This Row],[Price ($)]]),AVERAGE(Table13[Price ($)]),Table13[[#This Row],[Price ($)]])</f>
        <v>100</v>
      </c>
      <c r="H32" s="8" t="str">
        <f>IF(ISBLANK(Table13[[#This Row],[Category]]),"Unknown",Table13[[#This Row],[Category]])</f>
        <v>Accessories</v>
      </c>
      <c r="I32" s="10">
        <v>46212</v>
      </c>
      <c r="J32" s="8" t="s">
        <v>131</v>
      </c>
      <c r="K32" s="8" t="str">
        <f>_xlfn.CONCAT(Table13[[#This Row],[Brand Name]]," ",Table13[[#This Row],[Product Name]])</f>
        <v>Casio Watch</v>
      </c>
    </row>
  </sheetData>
  <conditionalFormatting sqref="D1:D3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32">
    <cfRule type="containsText" dxfId="3" priority="1" operator="containsText" text="Electronics">
      <formula>NOT(ISERROR(SEARCH("Electronics",F2)))</formula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1035-8D1C-46E2-A2AC-BC50DCEF17BE}">
  <dimension ref="A1:B10"/>
  <sheetViews>
    <sheetView tabSelected="1" zoomScale="70" workbookViewId="0">
      <selection activeCell="B1" sqref="B1"/>
    </sheetView>
  </sheetViews>
  <sheetFormatPr defaultRowHeight="12.5" x14ac:dyDescent="0.25"/>
  <cols>
    <col min="1" max="1" width="23" customWidth="1"/>
    <col min="2" max="2" width="104.08984375" customWidth="1"/>
  </cols>
  <sheetData>
    <row r="1" spans="1:2" ht="18" x14ac:dyDescent="0.25">
      <c r="A1" s="13" t="s">
        <v>133</v>
      </c>
      <c r="B1" s="13" t="s">
        <v>152</v>
      </c>
    </row>
    <row r="2" spans="1:2" ht="55.5" customHeight="1" x14ac:dyDescent="0.25">
      <c r="A2" s="14" t="s">
        <v>134</v>
      </c>
      <c r="B2" s="14" t="s">
        <v>145</v>
      </c>
    </row>
    <row r="3" spans="1:2" ht="62" customHeight="1" x14ac:dyDescent="0.25">
      <c r="A3" s="14" t="s">
        <v>135</v>
      </c>
      <c r="B3" s="14" t="s">
        <v>151</v>
      </c>
    </row>
    <row r="4" spans="1:2" ht="55.5" customHeight="1" x14ac:dyDescent="0.25">
      <c r="A4" s="14" t="s">
        <v>136</v>
      </c>
      <c r="B4" s="14" t="s">
        <v>144</v>
      </c>
    </row>
    <row r="5" spans="1:2" ht="45.5" customHeight="1" x14ac:dyDescent="0.25">
      <c r="A5" s="14" t="s">
        <v>137</v>
      </c>
      <c r="B5" s="14" t="s">
        <v>138</v>
      </c>
    </row>
    <row r="6" spans="1:2" ht="39.5" customHeight="1" x14ac:dyDescent="0.25">
      <c r="A6" s="14" t="s">
        <v>139</v>
      </c>
      <c r="B6" s="14" t="s">
        <v>146</v>
      </c>
    </row>
    <row r="7" spans="1:2" ht="58.5" customHeight="1" x14ac:dyDescent="0.25">
      <c r="A7" s="14" t="s">
        <v>140</v>
      </c>
      <c r="B7" s="14" t="s">
        <v>147</v>
      </c>
    </row>
    <row r="8" spans="1:2" ht="48" customHeight="1" x14ac:dyDescent="0.25">
      <c r="A8" s="14" t="s">
        <v>141</v>
      </c>
      <c r="B8" s="14" t="s">
        <v>148</v>
      </c>
    </row>
    <row r="9" spans="1:2" ht="47.5" customHeight="1" x14ac:dyDescent="0.25">
      <c r="A9" s="14" t="s">
        <v>142</v>
      </c>
      <c r="B9" s="14" t="s">
        <v>149</v>
      </c>
    </row>
    <row r="10" spans="1:2" ht="55.5" customHeight="1" x14ac:dyDescent="0.25">
      <c r="A10" s="14" t="s">
        <v>143</v>
      </c>
      <c r="B10" s="14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Dataset</vt:lpstr>
      <vt:lpstr>Answers</vt:lpstr>
      <vt:lpstr>Description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ashili biju</dc:creator>
  <cp:lastModifiedBy>ashili biju</cp:lastModifiedBy>
  <dcterms:created xsi:type="dcterms:W3CDTF">2026-10-30T11:47:18Z</dcterms:created>
  <dcterms:modified xsi:type="dcterms:W3CDTF">2026-10-30T12:10:33Z</dcterms:modified>
</cp:coreProperties>
</file>